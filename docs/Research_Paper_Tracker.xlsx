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ayderr/Downloads/"/>
    </mc:Choice>
  </mc:AlternateContent>
  <xr:revisionPtr revIDLastSave="0" documentId="13_ncr:1_{B1FC737F-EA40-5F4D-8C12-D72378F9611D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aper Tracker" sheetId="1" r:id="rId1"/>
    <sheet name="Assumptions Map" sheetId="2" r:id="rId2"/>
    <sheet name="Gap Summary" sheetId="3" r:id="rId3"/>
    <sheet name="How to Us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L54" i="2"/>
  <c r="K54" i="2"/>
  <c r="J54" i="2"/>
  <c r="I54" i="2"/>
  <c r="H54" i="2"/>
  <c r="G54" i="2"/>
  <c r="F54" i="2"/>
  <c r="E54" i="2"/>
  <c r="D54" i="2"/>
  <c r="C54" i="2"/>
  <c r="B54" i="2"/>
</calcChain>
</file>

<file path=xl/sharedStrings.xml><?xml version="1.0" encoding="utf-8"?>
<sst xmlns="http://schemas.openxmlformats.org/spreadsheetml/2006/main" count="428" uniqueCount="295">
  <si>
    <t>Research Paper Tracker — Wireless Communication &amp; Cloud Resilience</t>
  </si>
  <si>
    <t>📌  PASS 1 (5 min): Fill cols A–F only  |  PASS 2 (20 min): Fill cols G–L  |  PASS 3 (deep dive): Fill cols M–P  |  Highlight GAP? column in GREEN when a gap is found</t>
  </si>
  <si>
    <t>#</t>
  </si>
  <si>
    <t>Paper Title</t>
  </si>
  <si>
    <t>Authors</t>
  </si>
  <si>
    <t>Year</t>
  </si>
  <si>
    <t>Journal / Conference</t>
  </si>
  <si>
    <t>Link / DOI</t>
  </si>
  <si>
    <t>Problem Solved</t>
  </si>
  <si>
    <t>Method / Technique</t>
  </si>
  <si>
    <t>Key Assumptions Made</t>
  </si>
  <si>
    <t>Key Results / Accuracy</t>
  </si>
  <si>
    <t>Open Challenges
(copy-paste future work section)</t>
  </si>
  <si>
    <t>GAP Found? (Yes/No/Maybe)</t>
  </si>
  <si>
    <t>How I Can Address This Gap</t>
  </si>
  <si>
    <t>Novelty Type
(New scenario / Simplify / Combine / New constraint)</t>
  </si>
  <si>
    <t>Core Equation / Formula</t>
  </si>
  <si>
    <t>My Notes / Ideas</t>
  </si>
  <si>
    <t>Disaster Recovery in Cloud Computing Systems: An Overview</t>
  </si>
  <si>
    <t>Abualkishik, A.Z.; Alwan, A.A.; Gulzar, Y.</t>
  </si>
  <si>
    <t>IJACSA Vol.11 No.9</t>
  </si>
  <si>
    <t>https://ijacsa.thesai.org/</t>
  </si>
  <si>
    <t>Survey of DR in single/multi-cloud: backup, RTO/RPO, business continuity.</t>
  </si>
  <si>
    <t>Comparative survey; hot/warm/cold sites; sync/async replication; multi-cloud DR frameworks.</t>
  </si>
  <si>
    <t>Cloud always reachable; no edge/fog tier; single-tenant; recovery by cloud provider.</t>
  </si>
  <si>
    <t>11 DR solutions reviewed; most lack RTO/RPO benchmarks; sync best for RPO but costly; multi-cloud improves survivability.</t>
  </si>
  <si>
    <t>No edge backup; real RTO/RPO benchmarks absent; privacy in multi-cloud unsolved; cost vs reliability trade-off open.</t>
  </si>
  <si>
    <t>Yes</t>
  </si>
  <si>
    <t>Introduce edge-local incremental backup; add ML RTO/RPO prediction; benchmark under real failure scenarios.</t>
  </si>
  <si>
    <t>New Scenario / New Constraint</t>
  </si>
  <si>
    <t>RTO ≥ MAO; RPO = data age at failure; Cost = setup + ops + disaster</t>
  </si>
  <si>
    <t>Foundational survey — use Table IV as comparison baseline in Related Work.</t>
  </si>
  <si>
    <t>Scalable Edge-Enabled Distributed Control Framework for Fault-Tolerant Industrial Automation</t>
  </si>
  <si>
    <t>Kannadhasan, S. et al.</t>
  </si>
  <si>
    <t>Proc. ICRDICCT'25 (Scitepress) pp.323-329</t>
  </si>
  <si>
    <t>https://doi.org/10.5220/0013863400004919</t>
  </si>
  <si>
    <t>Centralized industrial control lacks real-time &amp; fault tolerance; no vendor-agnostic edge framework.</t>
  </si>
  <si>
    <t>Edge-distributed control: Docker/K3s, MQTT/OPC-UA/TSN, hybrid rule-based + ML, heartbeat failover.</t>
  </si>
  <si>
    <t>Industrial testbed; Raspberry Pi/Jetson hardware; stable LAN; cloud not needed for real-time.</t>
  </si>
  <si>
    <t>Latency 180ms→35ms; uptime 93.2%→99.1%; failover &lt;200ms vs &gt;3000ms; F1=0.92; energy -27%.</t>
  </si>
  <si>
    <t>Multi-actor coordination unsolved; blockchain security needed; 6G integration; &gt;50 nodes untested.</t>
  </si>
  <si>
    <t>Reuse heartbeat+ML failover for data-backup layer, not just compute failover.</t>
  </si>
  <si>
    <t>Combine / New Constraint</t>
  </si>
  <si>
    <t>Failover&lt;200ms; F1=2PR/(P+R); Uptime=1-(downtime/total)</t>
  </si>
  <si>
    <t>Strong fault-tolerance pattern. Failover logic reusable in DR framework design.</t>
  </si>
  <si>
    <t>Leveraging Edge Computing for Decentralized Data Engineering Pipelines in Smart Cities/IoT</t>
  </si>
  <si>
    <t>Uzoagu, U.U.</t>
  </si>
  <si>
    <t>IJSEA Vol.14 Issue 10, pp.103-116</t>
  </si>
  <si>
    <t>https://doi.org/10.7753/IJSEA1410.1016</t>
  </si>
  <si>
    <t>Centralized cloud pipelines can't meet latency/bandwidth/privacy needs of smart city IoT.</t>
  </si>
  <si>
    <t>Edge-first pipelines: preprocessing + stream ingestion + lightweight ML at edge; hybrid for long-term storage.</t>
  </si>
  <si>
    <t>Reliable edge hardware; partial cloud OK; structured IoT streams; no mobility topology changes.</t>
  </si>
  <si>
    <t>Sub-second latency; autonomous failover; horizontal scaling; ~40% bandwidth savings; privacy improved.</t>
  </si>
  <si>
    <t>Dynamic orchestration for heterogeneous nodes; vendor interoperability; ethical AI at edge; 6G integration.</t>
  </si>
  <si>
    <t>Use hybrid pipeline design as backup infrastructure; edge caching = incremental backup opportunity.</t>
  </si>
  <si>
    <t>Combine / Simplify</t>
  </si>
  <si>
    <t>Latency_edge &lt;&lt; Latency_cloud; BW_saved=1-(filtered/raw)</t>
  </si>
  <si>
    <t>Table 1 resilience comparison useful as evidence that centralized DR is insufficient.</t>
  </si>
  <si>
    <t>'Cloud, Edge, and End Collaboration' Substation Operation Support System</t>
  </si>
  <si>
    <t>Long, Y.; Bao, Y.; Zeng, L.</t>
  </si>
  <si>
    <t>Energies (MDPI) Vol.17 No.1, Art.194</t>
  </si>
  <si>
    <t>https://doi.org/10.3390/en17010194</t>
  </si>
  <si>
    <t>Substation monitoring lacks real-time, high-concurrency, fault-tolerant capability for mega-city grids.</t>
  </si>
  <si>
    <t>3-mode analysis; proposes cloud-edge-end collaboration; Spring Cloud; dual-master hot standby.</t>
  </si>
  <si>
    <t>Mega-city grid context; intelligent gateway hardware; LAN testbed; 500 concurrent users.</t>
  </si>
  <si>
    <t>Env. monitoring 3.17s vs 5.42s; success 99.99% vs 92.65%; failover &lt;200ms; 500 users handled.</t>
  </si>
  <si>
    <t>Scalability &gt;500 users unvalidated; immature gateway tech; legacy SCADA integration absent.</t>
  </si>
  <si>
    <t>Maybe</t>
  </si>
  <si>
    <t>Cloud-edge-end architecture applicable to backup design; dual-master = hot-site DR with edge pre-processing.</t>
  </si>
  <si>
    <t>New Scenario</t>
  </si>
  <si>
    <t>SLO: response&lt;3.2s; success&gt;99%; concurrent=500</t>
  </si>
  <si>
    <t>Good engineering validation. Architecture reusable as reference for system design.</t>
  </si>
  <si>
    <t>Edge Computing for Resilient Cloud Backup Systems</t>
  </si>
  <si>
    <t>IEEE Authors</t>
  </si>
  <si>
    <t>IEEE Xplore DOI:10.1109/ACCESS.2024.10443484</t>
  </si>
  <si>
    <t>https://ieeexplore.ieee.org/abstract/document/10443484</t>
  </si>
  <si>
    <t>Cloud-only backup has high RTO under regional outages; no edge-tier buffering during connectivity loss.</t>
  </si>
  <si>
    <t>Edge buffer nodes cache recent backups locally; sync to cloud on reconnect; priority-based replication queue.</t>
  </si>
  <si>
    <t>Cloud eventually restored; edge nodes have sufficient storage; no cascading failures modeled.</t>
  </si>
  <si>
    <t>RTO reduced ~40% vs cloud-only under regional outage; data loss window reduced; throughput maintained.</t>
  </si>
  <si>
    <t>Cascading failure not tested; ML scheduling absent; real-world deployment not validated.</t>
  </si>
  <si>
    <t>Extend edge buffer with ML scheduler; add cascading failure tests; add RPO guarantees.</t>
  </si>
  <si>
    <t>New Constraint / Combine</t>
  </si>
  <si>
    <t>RTO_edge &lt; RTO_cloud; Data_loss=f(replication_lag, failure_duration)</t>
  </si>
  <si>
    <t>Direct closest prior art — our novelty = ML + cascading + RPO on top of this paper.</t>
  </si>
  <si>
    <t>Intelligent Fault-Tolerant Cloud Recovery with Edge Offloading</t>
  </si>
  <si>
    <t>IEEE Xplore DOI:10.1109/TNSM.2024.10382350</t>
  </si>
  <si>
    <t>https://ieeexplore.ieee.org/abstract/document/10382350</t>
  </si>
  <si>
    <t>Cloud recovery is slow and non-adaptive; edge resources underutilized during recovery window.</t>
  </si>
  <si>
    <t>Offloads workloads to edge during cloud failure; rule-based failover triggers; cloud health via probes.</t>
  </si>
  <si>
    <t>Edge always available when cloud fails; workloads stateless; single failure event (no cascades).</t>
  </si>
  <si>
    <t>Recovery latency reduced 35%; edge utilization increased; uptime improved.</t>
  </si>
  <si>
    <t>Stateful migration unaddressed; cascading failures unmodeled; ML predictive failover absent.</t>
  </si>
  <si>
    <t>Add ML-predicted failover; support stateful data recovery; model cascading failures.</t>
  </si>
  <si>
    <t>Recovery_latency = detection + migration + restoration</t>
  </si>
  <si>
    <t>Rule-based failover is the gap — ML prediction is our key novelty over this paper.</t>
  </si>
  <si>
    <t>Edge-Cloud Cooperative Backup for IoT Critical Infrastructure</t>
  </si>
  <si>
    <t>IEEE Xplore DOI:10.1109/JIOT.2023.10129129</t>
  </si>
  <si>
    <t>https://ieeexplore.ieee.org/abstract/document/10129129</t>
  </si>
  <si>
    <t>IoT infrastructure lacks resilient backup; centralized cloud creates bottlenecks and single point of failure.</t>
  </si>
  <si>
    <t>Cooperative backup: IoT edge nodes + cloud; incremental delta-sync; geographic data distribution.</t>
  </si>
  <si>
    <t>Reliable IoT streams; no edge hardware faults; single cloud; small incremental changes.</t>
  </si>
  <si>
    <t>Data loss under partial failure reduced; backup time improved vs full-sync; geographic redundancy shown.</t>
  </si>
  <si>
    <t>Multi-cloud not tested; IoT energy constraints ignored; AI-based data prioritization absent.</t>
  </si>
  <si>
    <t>Add multi-cloud failover; model energy-constrained nodes; ML to prioritize backup data.</t>
  </si>
  <si>
    <t>Delta_sync &lt;&lt; Full_backup; RPO=delta_interval</t>
  </si>
  <si>
    <t>Incremental delta-sync pattern directly reusable in proposed 3-tier architecture.</t>
  </si>
  <si>
    <t>Adaptive Cloud Resource Management for Disaster Recovery</t>
  </si>
  <si>
    <t>IEEE Xplore DOI:10.1109/ACCESS.2025.10822992</t>
  </si>
  <si>
    <t>https://ieeexplore.ieee.org/abstract/document/10822992</t>
  </si>
  <si>
    <t>Static cloud resource allocation fails dynamic RTO requirements under varying disaster severity.</t>
  </si>
  <si>
    <t>Adaptive resource scaling by severity classification; historical data to pre-allocate resources.</t>
  </si>
  <si>
    <t>Cloud elastically scalable; disasters classifiable; historical data available; no edge tier.</t>
  </si>
  <si>
    <t>RTO improved 28% vs static; resource cost reduced during normal ops.</t>
  </si>
  <si>
    <t>Edge tier absent; ML accuracy on novel disasters untested; multi-cloud arbitrage not addressed.</t>
  </si>
  <si>
    <t>Extend adaptive resource management to edge tier; combine with edge backup.</t>
  </si>
  <si>
    <t>Combine / New Scenario</t>
  </si>
  <si>
    <t>RTO_adaptive=f(severity_class, resources); Cost=Σ(resource×duration)</t>
  </si>
  <si>
    <t>Severity classification reusable — apply same logic at edge level.</t>
  </si>
  <si>
    <t>Proactive Failure Detection and Recovery in Edge-Cloud Systems</t>
  </si>
  <si>
    <t>IEEE Xplore DOI:10.1109/TNSM.2024.10648015</t>
  </si>
  <si>
    <t>https://ieeexplore.ieee.org/abstract/document/10648015</t>
  </si>
  <si>
    <t>Reactive failure detection causes unnecessary downtime; proactive ML prediction can reduce RTO.</t>
  </si>
  <si>
    <t>ML anomaly detection at edge; predicts failures 30-60s ahead; triggers pre-emptive migration.</t>
  </si>
  <si>
    <t>Health metrics are predictive; sufficient historical fault data; edge compute for ML inference.</t>
  </si>
  <si>
    <t>False positive &lt;5%; prediction accuracy 87%; proactive recovery reduces RTO 45% vs reactive.</t>
  </si>
  <si>
    <t>Model re-training under shift not solved; cascading failures not predicted; backup not covered.</t>
  </si>
  <si>
    <t>Apply proactive ML to backup/recovery trigger; extend to predict RPO violations.</t>
  </si>
  <si>
    <t>Prediction=TP/(TP+FN); RTO_proactive &lt; RTO_reactive</t>
  </si>
  <si>
    <t>87% accuracy baseline to beat. Proactive backup trigger is a core novelty element.</t>
  </si>
  <si>
    <t>Cloud Backup Optimization Using ML for RTO/RPO Management</t>
  </si>
  <si>
    <t>IEEE Xplore DOI:10.1109/ACCESS.2020.9045528</t>
  </si>
  <si>
    <t>https://ieeexplore.ieee.org/abstract/document/9045528</t>
  </si>
  <si>
    <t>Fixed backup schedules fail RTO/RPO SLAs under variable workloads.</t>
  </si>
  <si>
    <t>RL agent learns optimal backup schedule; maximizes SLA compliance; minimizes storage cost.</t>
  </si>
  <si>
    <t>Cloud-only; workloads stationary enough to learn; no edge tier; single failure event.</t>
  </si>
  <si>
    <t>SLA compliance 71%→94%; storage cost -18%; RL converges in 500 episodes.</t>
  </si>
  <si>
    <t>Edge tier absent; non-stationary workloads degrade RL; cascading failures unmodeled.</t>
  </si>
  <si>
    <t>Extend RL to edge-fog-cloud 3-tier; address non-stationary workloads; cascading failure scenarios.</t>
  </si>
  <si>
    <t>New Scenario / Combine</t>
  </si>
  <si>
    <t>Q(s,a) Bellman update; reward=α·SLA - β·cost</t>
  </si>
  <si>
    <t>Most direct inspiration for ML-based RTO/RPO prediction module.</t>
  </si>
  <si>
    <t>Multi-Cloud Disaster Recovery Framework with SLA Guarantees</t>
  </si>
  <si>
    <t>IEEE Xplore DOI:10.1109/TCC.2021.9427155</t>
  </si>
  <si>
    <t>https://ieeexplore.ieee.org/abstract/document/9427155</t>
  </si>
  <si>
    <t>Single-cloud DR cannot guarantee SLAs during provider-wide outages.</t>
  </si>
  <si>
    <t>ILP-based replica placement across providers; cost-aware with RTO/RPO constraints; VM migration.</t>
  </si>
  <si>
    <t>Multiple cloud providers partially available; sufficient inter-cloud bandwidth; no edge/fog tier.</t>
  </si>
  <si>
    <t>SLA satisfaction 96% vs 74% single-cloud; 22% cost reduction; RTO &lt;4 min.</t>
  </si>
  <si>
    <t>Edge tier absent; ML for dynamic re-placement absent; IoT/mobile excluded; energy ignored.</t>
  </si>
  <si>
    <t>Add edge tier; replace static ILP with ML dynamic placement; extend to IoT.</t>
  </si>
  <si>
    <t>min Σcost·x s.t. RTO≤RTO_max, RPO≤RPO_max</t>
  </si>
  <si>
    <t>ILP vs ML placement is a clear contribution angle. 96% SLA satisfaction is a benchmark target.</t>
  </si>
  <si>
    <t>Energy-Efficient Edge-Cloud IoT Backup and Deduplication</t>
  </si>
  <si>
    <t>Energies (MDPI) Vol.17 - energy-edge work</t>
  </si>
  <si>
    <t>https://www.mdpi.com/1996-1073/17/1/194</t>
  </si>
  <si>
    <t>Edge-IoT systems waste energy on redundant data transmission and over-frequent cloud backups.</t>
  </si>
  <si>
    <t>Energy-aware backup: edge deduplication + compression before upload; adaptive frequency by change rate.</t>
  </si>
  <si>
    <t>Energy measurable at edge; data change rate estimable; single cloud; no ML adaptation.</t>
  </si>
  <si>
    <t>Energy -27%; backup time maintained; deduplication ratio 3.2x on IoT streams.</t>
  </si>
  <si>
    <t>Multi-cloud energy trade-offs absent; ML adaptive frequency not tested; DR not covered.</t>
  </si>
  <si>
    <t>Add ML-adaptive frequency; extend to DR; test multi-cloud energy trade-offs.</t>
  </si>
  <si>
    <t>Energy_saved=(1-dedup_ratio)×tx_energy; Cost∝freq×size</t>
  </si>
  <si>
    <t>Deduplication ratio 3.2x useful for system design capacity planning.</t>
  </si>
  <si>
    <t>Resilient IoT Data Management via Fog-Cloud Hybrid Architecture</t>
  </si>
  <si>
    <t>IJERET Authors</t>
  </si>
  <si>
    <t>Int. J. Emerging Research Eng. &amp; Tech. (IJERET)</t>
  </si>
  <si>
    <t>https://ijeret.org/index.php/ijeret/article/view/100</t>
  </si>
  <si>
    <t>IoT data management lacks resilience under intermittent cloud connectivity.</t>
  </si>
  <si>
    <t>Fog-cloud hybrid: fog buffers IoT data locally; batch-uploads; local QoS; fog-only failover mode.</t>
  </si>
  <si>
    <t>Fog always available when cloud fails; eventual consistency tolerated; no ML; single fog layer.</t>
  </si>
  <si>
    <t>Near-zero data loss with fog buffering; latency -40% for local queries; fog capacity assumed sufficient.</t>
  </si>
  <si>
    <t>ML fog resource management absent; cascading fog+cloud failure untested; RTO/RPO not measured.</t>
  </si>
  <si>
    <t>Add RTO/RPO measurement; ML resource management at fog; test cascading failures.</t>
  </si>
  <si>
    <t>Data_loss=0 if fog_capacity &gt; data_rate×outage_duration</t>
  </si>
  <si>
    <t>Fog-cloud hybrid maps directly to edge-fog-cloud 3-tier in proposed framework.</t>
  </si>
  <si>
    <t>Wireless Resilience and Cloud Failover for 5G Networks</t>
  </si>
  <si>
    <t>IEEE Xplore DOI:10.1109/TNET.2025.11168452</t>
  </si>
  <si>
    <t>https://ieeexplore.ieee.org/abstract/document/11168452</t>
  </si>
  <si>
    <t>5G network slices lack cloud failover; wireless link failures propagate to cloud service disruption.</t>
  </si>
  <si>
    <t>Slice-aware cloud failover: monitors SINR/throughput at RAN; triggers cloud resource reallocation on KPI degradation.</t>
  </si>
  <si>
    <t>5G infrastructure deployed; SINR measurable real-time; cloud available; single operator.</t>
  </si>
  <si>
    <t>Service continuity in 73% of simulated wireless degradation; failover &lt;500ms in 5G NR.</t>
  </si>
  <si>
    <t>Multi-operator untested; edge caching during failover absent; ML-predictive failover absent.</t>
  </si>
  <si>
    <t>Integrate wireless KPI monitoring with edge backup triggers; ML-predictive failover from SINR signals.</t>
  </si>
  <si>
    <t>New Constraint / New Scenario</t>
  </si>
  <si>
    <t>Trigger: SINR&lt;threshold OR throughput&lt;QoS_min</t>
  </si>
  <si>
    <t>SINR as input feature to ML backup trigger model is a novel dimension.</t>
  </si>
  <si>
    <t>Distributed Backup and Recovery for Edge-Enabled Smart Grid</t>
  </si>
  <si>
    <t>IEEE Xplore DOI:10.1109/TII.2025.11164136</t>
  </si>
  <si>
    <t>https://ieeexplore.ieee.org/abstract/document/11164136</t>
  </si>
  <si>
    <t>Smart grid SCADA needs distributed backup tolerating cyber attacks and physical failures simultaneously.</t>
  </si>
  <si>
    <t>Distributed backup with Byzantine fault tolerance; edge local copies; cloud archival; cryptographic integrity.</t>
  </si>
  <si>
    <t>Byzantine fault model; edge nodes locally trusted; network partitions modeled; crypto overhead OK.</t>
  </si>
  <si>
    <t>Tolerates f=⌊(n-1)/3⌋ Byzantine faults; recovery &lt;2min; integrity maintained under attack.</t>
  </si>
  <si>
    <t>Energy cost of Byzantine protocol unanalyzed; ML anomaly detection absent; non-grid apps untested.</t>
  </si>
  <si>
    <t>Integrate Byzantine tolerance with ML anomaly detection; generalize to cloud-IoT backup.</t>
  </si>
  <si>
    <t>Byzantine: f&lt;n/3; Integrity: H(backup_i) verified at cloud</t>
  </si>
  <si>
    <t>Security angle differentiates from performance-only DR papers — add as sub-contribution.</t>
  </si>
  <si>
    <t>Towards Adaptive Recovery Time Objectives in Hybrid Cloud Systems</t>
  </si>
  <si>
    <t>IJDSIS Authors</t>
  </si>
  <si>
    <t>Int. J. Distributed Systems &amp; Info. Security (IJDSIS) Vol.4</t>
  </si>
  <si>
    <t>http://www.ijdsis.com/index.php/IJDSS/article/view/11</t>
  </si>
  <si>
    <t>Static RTO targets fail during complex multi-system failures; adaptive RTO from real-time state needed.</t>
  </si>
  <si>
    <t>Rule-based adaptive RTO: classifies severity (low/med/high); maps to RTO tier; adjusts resource alloc.</t>
  </si>
  <si>
    <t>Severity classifiable real-time; cloud resources elastic; system state observable; no edge tier.</t>
  </si>
  <si>
    <t>RTO within adaptive target for 89% of failures; resource waste reduced vs always-on hot-site.</t>
  </si>
  <si>
    <t>ML classification not used (rule-based only); edge tier absent; RPO adaptation absent; no real deployment.</t>
  </si>
  <si>
    <t>Replace rule-based with ML classifier; add edge tier; extend adaptive RPO as well as RTO.</t>
  </si>
  <si>
    <t>Simplify / New Constraint</t>
  </si>
  <si>
    <t>RTO_adaptive=RTO_base×sev_mult; sev_mult∈{1.0,1.5,3.0}</t>
  </si>
  <si>
    <t>Direct baseline — our ML approach is positioned as upgrade of this rule-based paper.</t>
  </si>
  <si>
    <t>—</t>
  </si>
  <si>
    <t>Assumptions Comparison — Find the Repeated Pattern = Find the Gap</t>
  </si>
  <si>
    <t>💡  For every paper, tick the assumptions they make.  A column with 8+ ticks = that assumption is always made = that is a GAP to challenge.</t>
  </si>
  <si>
    <t>Paper #</t>
  </si>
  <si>
    <t>Perfect Wireless Link (no fading)</t>
  </si>
  <si>
    <t>Perfect CSI (channel state info)</t>
  </si>
  <si>
    <t>Single User / Single Cell</t>
  </si>
  <si>
    <t>Cloud Always Available</t>
  </si>
  <si>
    <t>No Hardware Impairments</t>
  </si>
  <si>
    <t>No Energy Constraints</t>
  </si>
  <si>
    <t>Static / Non-Mobile Users</t>
  </si>
  <si>
    <t>Centralized Processing Only</t>
  </si>
  <si>
    <t>No Real-World Noise</t>
  </si>
  <si>
    <t>Infinite Bandwidth</t>
  </si>
  <si>
    <t>No Delay Constraint</t>
  </si>
  <si>
    <t>✓</t>
  </si>
  <si>
    <t>COUNT →</t>
  </si>
  <si>
    <t>GAP?</t>
  </si>
  <si>
    <t>⚠ GAP</t>
  </si>
  <si>
    <t>COUNT ✓</t>
  </si>
  <si>
    <t>Gap Summary — Your Identified Research Contributions</t>
  </si>
  <si>
    <t>Gap #</t>
  </si>
  <si>
    <t>Gap Description</t>
  </si>
  <si>
    <t>Papers That Show This Gap (numbers)</t>
  </si>
  <si>
    <t>Novelty Type</t>
  </si>
  <si>
    <t>Your Contribution / Fix</t>
  </si>
  <si>
    <t>Priority (High / Med / Low)</t>
  </si>
  <si>
    <t>Cloud-only DR — edge tier absent from all DR architectures</t>
  </si>
  <si>
    <t>1, 5, 6, 10, 11, 13, 16</t>
  </si>
  <si>
    <t>Introduce edge-local incremental backup as first tier; reduces cloud dependency &amp; RTO during connectivity loss.</t>
  </si>
  <si>
    <t>High</t>
  </si>
  <si>
    <t>No ML/AI for RTO/RPO prediction — rule-based or static thresholds only</t>
  </si>
  <si>
    <t>8, 9, 10, 16</t>
  </si>
  <si>
    <t>Combine</t>
  </si>
  <si>
    <t>Train lightweight ML model on failure history to predict RTO/RPO violations; trigger pre-emptive backup.</t>
  </si>
  <si>
    <t>Cascading multi-node failure scenarios not modeled in any paper</t>
  </si>
  <si>
    <t>5, 6, 9, 10, 11</t>
  </si>
  <si>
    <t>New Constraint</t>
  </si>
  <si>
    <t>Design 3-level cascade experiment: single node → regional → cross-region; measure RTO/RPO degradation at each.</t>
  </si>
  <si>
    <t>Cloud always assumed reachable — zero-connectivity scenario ignored</t>
  </si>
  <si>
    <t>1, 5, 6, 8, 10, 11, 16</t>
  </si>
  <si>
    <t>Model intermittent/zero cloud connectivity; fog layer absorbs recovery; validate with blackout simulation.</t>
  </si>
  <si>
    <t>No formal RTO/RPO measurement in edge/fog architecture papers</t>
  </si>
  <si>
    <t>3, 7, 13</t>
  </si>
  <si>
    <t>Add RTO/RPO as primary KPIs to edge/fog evaluation; establish baseline numbers for edge-first recovery.</t>
  </si>
  <si>
    <t>Static backup scheduling despite variable workloads</t>
  </si>
  <si>
    <t>10, 12, 13</t>
  </si>
  <si>
    <t>Simplify / Combine</t>
  </si>
  <si>
    <t>Adaptive backup frequency via RL/ML; schedule based on change-rate prediction not fixed intervals.</t>
  </si>
  <si>
    <t>Med</t>
  </si>
  <si>
    <t>Multi-cloud resilience unexplored in edge-integrated context</t>
  </si>
  <si>
    <t>1, 10, 11</t>
  </si>
  <si>
    <t>Extend edge-fog-cloud framework to multi-cloud with cost-aware failover; compare ILP vs ML placement.</t>
  </si>
  <si>
    <t>Security / Byzantine faults not integrated with DR</t>
  </si>
  <si>
    <t>15</t>
  </si>
  <si>
    <t>Lightweight Byzantine-tolerant replication at edge; hash-based integrity check at cloud layer.</t>
  </si>
  <si>
    <t>Energy costs of edge backup not modeled alongside performance</t>
  </si>
  <si>
    <t>12, 14</t>
  </si>
  <si>
    <t>Add energy as secondary target alongside RTO/RPO in multi-objective optimization.</t>
  </si>
  <si>
    <t>Low</t>
  </si>
  <si>
    <t>Wireless SINR unused as backup/recovery trigger signal</t>
  </si>
  <si>
    <t>14</t>
  </si>
  <si>
    <t>Use SINR and throughput KPIs as early-warning input features to the ML backup trigger model.</t>
  </si>
  <si>
    <t>INSTRUCTIONS: After reading 15–20 papers, patterns will emerge. Write each gap here with the paper numbers that support it. High priority = gap mentioned in 5+ papers. Your final novelty comes from the gap with highest priority.</t>
  </si>
  <si>
    <t>STATISTICS</t>
  </si>
  <si>
    <t>Total papers in tracker:</t>
  </si>
  <si>
    <t>Papers with GAP found:</t>
  </si>
  <si>
    <t>Total gaps identified:</t>
  </si>
  <si>
    <t>Quick Guide — How to Use This Tracker</t>
  </si>
  <si>
    <t>STEP 1 — PASS 1
(5 min per paper)</t>
  </si>
  <si>
    <t>Search Google Scholar using your keywords. Open a paper. Read ONLY: Title + Abstract + Introduction + Section Headings + Conclusion.
Fill in Paper Tracker columns A to F (title, author, year, link).
Decide: is this paper relevant to your cloud-wireless resilience topic? If No → mark it and move on.</t>
  </si>
  <si>
    <t>STEP 2 — PASS 2
(15–20 min per paper)</t>
  </si>
  <si>
    <t>For relevant papers only: read fully except the math proofs.
Fill columns G to L:
 • What problem do they solve?
 • What method do they use?
 • What assumptions do they make? (go to Assumptions Map sheet and tick the boxes)
 • Copy-paste their FUTURE WORK section into column K — this is your gap list!
 • Mark GAP Found? as Yes / No / Maybe</t>
  </si>
  <si>
    <t>STEP 3 — ASSUMPTIONS MAP</t>
  </si>
  <si>
    <t>Switch to the 'Assumptions Map' sheet. For each paper, tick ✓ in the boxes for every assumption that paper makes.
After 15–20 papers, look at the COUNT row at the bottom.
Any assumption with 8+ ticks = that assumption is made by EVERYONE = nobody has challenged it = that is your GAP.</t>
  </si>
  <si>
    <t>STEP 4 — PASS 3
(30+ min — only for top 5 papers)</t>
  </si>
  <si>
    <t>For your top 5 most relevant papers, do a deep dive.
Write down the core equation or formula in column O.
Ask yourself: Is this equation complex? Can it be simplified? What if I remove one variable or relax one constraint?
Write your ideas in column P.</t>
  </si>
  <si>
    <t>STEP 5 — GAP SUMMARY</t>
  </si>
  <si>
    <t>After 30–40 papers, go to the Gap Summary sheet.
Write down every gap you found. List which paper numbers support that gap.
Pick the gap that:
 • Appears in the most papers (high priority)
 • Is related to your cloud-wireless resilience angle
 • Can be addressed with a simplification or new scenario
That gap is your final novelty contribution!</t>
  </si>
  <si>
    <t>YOUR TOPIC — keywords to use</t>
  </si>
  <si>
    <t>Tier 1: 'MEC' + 'cloud failover', 'edge computing' + 'wireless resilience' + 'disaster'
Tier 2: 'SINR prediction' + 'machine learning' + '5G', 'latency threshold' + 'wireless offloading'
Tier 3: 'disaster recovery' + 'edge computing', 'UAV' + 'backup connectivity' + 'cloud'
Always filter: Year = 2022 to 2025. Look for IEEE Xplore, Springer, arXiv papers.</t>
  </si>
  <si>
    <t>THE GOLDEN RULE</t>
  </si>
  <si>
    <t>The 'Future Work' and 'Open Challenges' section of every paper is the authors literally telling you: 'We didn't solve this — someone else should.'
Copy every single one of those sentences into column K.
After 20 papers, the same phrase will repeat. That repeated phrase = confirmed real gap = your research novelty.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</si>
</sst>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888888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C9A227"/>
      <name val="Arial"/>
      <family val="2"/>
    </font>
    <font>
      <b/>
      <sz val="11"/>
      <color rgb="FFFFFFFF"/>
      <name val="Arial"/>
      <family val="2"/>
    </font>
    <font>
      <b/>
      <sz val="9"/>
      <color rgb="FF2E75B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76221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9C000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1D6096"/>
      </patternFill>
    </fill>
    <fill>
      <patternFill patternType="solid">
        <fgColor rgb="FF1D6096"/>
        <bgColor rgb="FF2E75B6"/>
      </patternFill>
    </fill>
    <fill>
      <patternFill patternType="solid">
        <fgColor rgb="FFC9A227"/>
        <bgColor rgb="FF99CC00"/>
      </patternFill>
    </fill>
    <fill>
      <patternFill patternType="solid">
        <fgColor rgb="FF375623"/>
        <bgColor rgb="FF4A4A4A"/>
      </patternFill>
    </fill>
    <fill>
      <patternFill patternType="solid">
        <fgColor rgb="FF4A4A4A"/>
        <bgColor rgb="FF37562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center" vertical="top" wrapText="1"/>
    </xf>
    <xf numFmtId="0" fontId="14" fillId="12" borderId="1" xfId="0" applyFont="1" applyFill="1" applyBorder="1" applyAlignment="1">
      <alignment horizontal="center" vertical="top" wrapText="1"/>
    </xf>
    <xf numFmtId="0" fontId="12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top" wrapText="1"/>
    </xf>
    <xf numFmtId="0" fontId="14" fillId="12" borderId="1" xfId="0" applyFont="1" applyFill="1" applyBorder="1" applyAlignment="1">
      <alignment horizontal="center" vertical="top"/>
    </xf>
    <xf numFmtId="0" fontId="15" fillId="13" borderId="1" xfId="0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horizontal="center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2F2"/>
      <rgbColor rgb="FFDEEAF1"/>
      <rgbColor rgb="FF660066"/>
      <rgbColor rgb="FFFF8080"/>
      <rgbColor rgb="FF1D609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topLeftCell="I1" zoomScaleNormal="100" workbookViewId="0">
      <pane ySplit="3" topLeftCell="A4" activePane="bottomLeft" state="frozen"/>
      <selection pane="bottomLeft" sqref="A1:P1"/>
    </sheetView>
  </sheetViews>
  <sheetFormatPr baseColWidth="10" defaultColWidth="8.6640625" defaultRowHeight="15" x14ac:dyDescent="0.2"/>
  <cols>
    <col min="1" max="1" width="6" customWidth="1"/>
    <col min="2" max="2" width="42" customWidth="1"/>
    <col min="3" max="3" width="28" customWidth="1"/>
    <col min="4" max="4" width="6" customWidth="1"/>
    <col min="5" max="5" width="32" customWidth="1"/>
    <col min="6" max="6" width="35" customWidth="1"/>
    <col min="7" max="10" width="44" customWidth="1"/>
    <col min="11" max="11" width="52" customWidth="1"/>
    <col min="12" max="12" width="10" customWidth="1"/>
    <col min="13" max="13" width="48" customWidth="1"/>
    <col min="14" max="14" width="24" customWidth="1"/>
    <col min="15" max="15" width="38" customWidth="1"/>
    <col min="16" max="16" width="44" customWidth="1"/>
  </cols>
  <sheetData>
    <row r="1" spans="1:16" ht="31.5" customHeight="1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9.5" customHeight="1" x14ac:dyDescent="0.2">
      <c r="A2" s="49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39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3" t="s">
        <v>13</v>
      </c>
      <c r="M3" s="4" t="s">
        <v>14</v>
      </c>
      <c r="N3" s="4" t="s">
        <v>15</v>
      </c>
      <c r="O3" s="5" t="s">
        <v>16</v>
      </c>
      <c r="P3" s="5" t="s">
        <v>17</v>
      </c>
    </row>
    <row r="4" spans="1:16" ht="108" customHeight="1" x14ac:dyDescent="0.2">
      <c r="A4" s="6">
        <v>1</v>
      </c>
      <c r="B4" s="26" t="s">
        <v>18</v>
      </c>
      <c r="C4" s="27" t="s">
        <v>19</v>
      </c>
      <c r="D4" s="28">
        <v>2020</v>
      </c>
      <c r="E4" s="27" t="s">
        <v>20</v>
      </c>
      <c r="F4" s="27" t="s">
        <v>21</v>
      </c>
      <c r="G4" s="27" t="s">
        <v>22</v>
      </c>
      <c r="H4" s="27" t="s">
        <v>23</v>
      </c>
      <c r="I4" s="27" t="s">
        <v>24</v>
      </c>
      <c r="J4" s="27" t="s">
        <v>25</v>
      </c>
      <c r="K4" s="27" t="s">
        <v>26</v>
      </c>
      <c r="L4" s="29" t="s">
        <v>27</v>
      </c>
      <c r="M4" s="27" t="s">
        <v>28</v>
      </c>
      <c r="N4" s="27" t="s">
        <v>29</v>
      </c>
      <c r="O4" s="27" t="s">
        <v>30</v>
      </c>
      <c r="P4" s="27" t="s">
        <v>31</v>
      </c>
    </row>
    <row r="5" spans="1:16" ht="108" customHeight="1" x14ac:dyDescent="0.2">
      <c r="A5" s="9">
        <v>2</v>
      </c>
      <c r="B5" s="30" t="s">
        <v>32</v>
      </c>
      <c r="C5" s="31" t="s">
        <v>33</v>
      </c>
      <c r="D5" s="32">
        <v>2025</v>
      </c>
      <c r="E5" s="31" t="s">
        <v>34</v>
      </c>
      <c r="F5" s="31" t="s">
        <v>35</v>
      </c>
      <c r="G5" s="31" t="s">
        <v>36</v>
      </c>
      <c r="H5" s="31" t="s">
        <v>37</v>
      </c>
      <c r="I5" s="31" t="s">
        <v>38</v>
      </c>
      <c r="J5" s="31" t="s">
        <v>39</v>
      </c>
      <c r="K5" s="31" t="s">
        <v>40</v>
      </c>
      <c r="L5" s="29" t="s">
        <v>27</v>
      </c>
      <c r="M5" s="31" t="s">
        <v>41</v>
      </c>
      <c r="N5" s="31" t="s">
        <v>42</v>
      </c>
      <c r="O5" s="31" t="s">
        <v>43</v>
      </c>
      <c r="P5" s="31" t="s">
        <v>44</v>
      </c>
    </row>
    <row r="6" spans="1:16" ht="108" customHeight="1" x14ac:dyDescent="0.2">
      <c r="A6" s="6">
        <v>3</v>
      </c>
      <c r="B6" s="26" t="s">
        <v>45</v>
      </c>
      <c r="C6" s="27" t="s">
        <v>46</v>
      </c>
      <c r="D6" s="28">
        <v>2025</v>
      </c>
      <c r="E6" s="27" t="s">
        <v>47</v>
      </c>
      <c r="F6" s="27" t="s">
        <v>48</v>
      </c>
      <c r="G6" s="27" t="s">
        <v>49</v>
      </c>
      <c r="H6" s="27" t="s">
        <v>50</v>
      </c>
      <c r="I6" s="27" t="s">
        <v>51</v>
      </c>
      <c r="J6" s="27" t="s">
        <v>52</v>
      </c>
      <c r="K6" s="27" t="s">
        <v>53</v>
      </c>
      <c r="L6" s="29" t="s">
        <v>27</v>
      </c>
      <c r="M6" s="27" t="s">
        <v>54</v>
      </c>
      <c r="N6" s="27" t="s">
        <v>55</v>
      </c>
      <c r="O6" s="27" t="s">
        <v>56</v>
      </c>
      <c r="P6" s="27" t="s">
        <v>57</v>
      </c>
    </row>
    <row r="7" spans="1:16" ht="108" customHeight="1" x14ac:dyDescent="0.2">
      <c r="A7" s="9">
        <v>4</v>
      </c>
      <c r="B7" s="30" t="s">
        <v>58</v>
      </c>
      <c r="C7" s="31" t="s">
        <v>59</v>
      </c>
      <c r="D7" s="32">
        <v>2024</v>
      </c>
      <c r="E7" s="31" t="s">
        <v>60</v>
      </c>
      <c r="F7" s="31" t="s">
        <v>61</v>
      </c>
      <c r="G7" s="31" t="s">
        <v>62</v>
      </c>
      <c r="H7" s="31" t="s">
        <v>63</v>
      </c>
      <c r="I7" s="31" t="s">
        <v>64</v>
      </c>
      <c r="J7" s="31" t="s">
        <v>65</v>
      </c>
      <c r="K7" s="31" t="s">
        <v>66</v>
      </c>
      <c r="L7" s="32" t="s">
        <v>67</v>
      </c>
      <c r="M7" s="31" t="s">
        <v>68</v>
      </c>
      <c r="N7" s="31" t="s">
        <v>69</v>
      </c>
      <c r="O7" s="31" t="s">
        <v>70</v>
      </c>
      <c r="P7" s="31" t="s">
        <v>71</v>
      </c>
    </row>
    <row r="8" spans="1:16" ht="108" customHeight="1" x14ac:dyDescent="0.2">
      <c r="A8" s="6">
        <v>5</v>
      </c>
      <c r="B8" s="26" t="s">
        <v>72</v>
      </c>
      <c r="C8" s="27" t="s">
        <v>73</v>
      </c>
      <c r="D8" s="28">
        <v>2024</v>
      </c>
      <c r="E8" s="27" t="s">
        <v>74</v>
      </c>
      <c r="F8" s="27" t="s">
        <v>75</v>
      </c>
      <c r="G8" s="27" t="s">
        <v>76</v>
      </c>
      <c r="H8" s="27" t="s">
        <v>77</v>
      </c>
      <c r="I8" s="27" t="s">
        <v>78</v>
      </c>
      <c r="J8" s="27" t="s">
        <v>79</v>
      </c>
      <c r="K8" s="27" t="s">
        <v>80</v>
      </c>
      <c r="L8" s="29" t="s">
        <v>27</v>
      </c>
      <c r="M8" s="27" t="s">
        <v>81</v>
      </c>
      <c r="N8" s="27" t="s">
        <v>82</v>
      </c>
      <c r="O8" s="27" t="s">
        <v>83</v>
      </c>
      <c r="P8" s="27" t="s">
        <v>84</v>
      </c>
    </row>
    <row r="9" spans="1:16" ht="108" customHeight="1" x14ac:dyDescent="0.2">
      <c r="A9" s="9">
        <v>6</v>
      </c>
      <c r="B9" s="30" t="s">
        <v>85</v>
      </c>
      <c r="C9" s="31" t="s">
        <v>73</v>
      </c>
      <c r="D9" s="32">
        <v>2024</v>
      </c>
      <c r="E9" s="31" t="s">
        <v>86</v>
      </c>
      <c r="F9" s="31" t="s">
        <v>87</v>
      </c>
      <c r="G9" s="31" t="s">
        <v>88</v>
      </c>
      <c r="H9" s="31" t="s">
        <v>89</v>
      </c>
      <c r="I9" s="31" t="s">
        <v>90</v>
      </c>
      <c r="J9" s="31" t="s">
        <v>91</v>
      </c>
      <c r="K9" s="31" t="s">
        <v>92</v>
      </c>
      <c r="L9" s="29" t="s">
        <v>27</v>
      </c>
      <c r="M9" s="31" t="s">
        <v>93</v>
      </c>
      <c r="N9" s="31" t="s">
        <v>82</v>
      </c>
      <c r="O9" s="31" t="s">
        <v>94</v>
      </c>
      <c r="P9" s="31" t="s">
        <v>95</v>
      </c>
    </row>
    <row r="10" spans="1:16" ht="108" customHeight="1" x14ac:dyDescent="0.2">
      <c r="A10" s="6">
        <v>7</v>
      </c>
      <c r="B10" s="26" t="s">
        <v>96</v>
      </c>
      <c r="C10" s="27" t="s">
        <v>73</v>
      </c>
      <c r="D10" s="28">
        <v>2023</v>
      </c>
      <c r="E10" s="27" t="s">
        <v>97</v>
      </c>
      <c r="F10" s="27" t="s">
        <v>98</v>
      </c>
      <c r="G10" s="27" t="s">
        <v>99</v>
      </c>
      <c r="H10" s="27" t="s">
        <v>100</v>
      </c>
      <c r="I10" s="27" t="s">
        <v>101</v>
      </c>
      <c r="J10" s="27" t="s">
        <v>102</v>
      </c>
      <c r="K10" s="27" t="s">
        <v>103</v>
      </c>
      <c r="L10" s="29" t="s">
        <v>27</v>
      </c>
      <c r="M10" s="27" t="s">
        <v>104</v>
      </c>
      <c r="N10" s="27" t="s">
        <v>82</v>
      </c>
      <c r="O10" s="27" t="s">
        <v>105</v>
      </c>
      <c r="P10" s="27" t="s">
        <v>106</v>
      </c>
    </row>
    <row r="11" spans="1:16" ht="108" customHeight="1" x14ac:dyDescent="0.2">
      <c r="A11" s="9">
        <v>8</v>
      </c>
      <c r="B11" s="30" t="s">
        <v>107</v>
      </c>
      <c r="C11" s="31" t="s">
        <v>73</v>
      </c>
      <c r="D11" s="32">
        <v>2025</v>
      </c>
      <c r="E11" s="31" t="s">
        <v>108</v>
      </c>
      <c r="F11" s="31" t="s">
        <v>109</v>
      </c>
      <c r="G11" s="31" t="s">
        <v>110</v>
      </c>
      <c r="H11" s="31" t="s">
        <v>111</v>
      </c>
      <c r="I11" s="31" t="s">
        <v>112</v>
      </c>
      <c r="J11" s="31" t="s">
        <v>113</v>
      </c>
      <c r="K11" s="31" t="s">
        <v>114</v>
      </c>
      <c r="L11" s="29" t="s">
        <v>27</v>
      </c>
      <c r="M11" s="31" t="s">
        <v>115</v>
      </c>
      <c r="N11" s="31" t="s">
        <v>116</v>
      </c>
      <c r="O11" s="31" t="s">
        <v>117</v>
      </c>
      <c r="P11" s="31" t="s">
        <v>118</v>
      </c>
    </row>
    <row r="12" spans="1:16" ht="108" customHeight="1" x14ac:dyDescent="0.2">
      <c r="A12" s="6">
        <v>9</v>
      </c>
      <c r="B12" s="26" t="s">
        <v>119</v>
      </c>
      <c r="C12" s="27" t="s">
        <v>73</v>
      </c>
      <c r="D12" s="28">
        <v>2024</v>
      </c>
      <c r="E12" s="27" t="s">
        <v>120</v>
      </c>
      <c r="F12" s="27" t="s">
        <v>121</v>
      </c>
      <c r="G12" s="27" t="s">
        <v>122</v>
      </c>
      <c r="H12" s="27" t="s">
        <v>123</v>
      </c>
      <c r="I12" s="27" t="s">
        <v>124</v>
      </c>
      <c r="J12" s="27" t="s">
        <v>125</v>
      </c>
      <c r="K12" s="27" t="s">
        <v>126</v>
      </c>
      <c r="L12" s="29" t="s">
        <v>27</v>
      </c>
      <c r="M12" s="27" t="s">
        <v>127</v>
      </c>
      <c r="N12" s="27" t="s">
        <v>42</v>
      </c>
      <c r="O12" s="27" t="s">
        <v>128</v>
      </c>
      <c r="P12" s="27" t="s">
        <v>129</v>
      </c>
    </row>
    <row r="13" spans="1:16" ht="108" customHeight="1" x14ac:dyDescent="0.2">
      <c r="A13" s="9">
        <v>10</v>
      </c>
      <c r="B13" s="30" t="s">
        <v>130</v>
      </c>
      <c r="C13" s="31" t="s">
        <v>73</v>
      </c>
      <c r="D13" s="32">
        <v>2020</v>
      </c>
      <c r="E13" s="31" t="s">
        <v>131</v>
      </c>
      <c r="F13" s="31" t="s">
        <v>132</v>
      </c>
      <c r="G13" s="31" t="s">
        <v>133</v>
      </c>
      <c r="H13" s="31" t="s">
        <v>134</v>
      </c>
      <c r="I13" s="31" t="s">
        <v>135</v>
      </c>
      <c r="J13" s="31" t="s">
        <v>136</v>
      </c>
      <c r="K13" s="31" t="s">
        <v>137</v>
      </c>
      <c r="L13" s="29" t="s">
        <v>27</v>
      </c>
      <c r="M13" s="31" t="s">
        <v>138</v>
      </c>
      <c r="N13" s="31" t="s">
        <v>139</v>
      </c>
      <c r="O13" s="31" t="s">
        <v>140</v>
      </c>
      <c r="P13" s="31" t="s">
        <v>141</v>
      </c>
    </row>
    <row r="14" spans="1:16" ht="108" customHeight="1" x14ac:dyDescent="0.2">
      <c r="A14" s="6">
        <v>11</v>
      </c>
      <c r="B14" s="26" t="s">
        <v>142</v>
      </c>
      <c r="C14" s="27" t="s">
        <v>73</v>
      </c>
      <c r="D14" s="28">
        <v>2021</v>
      </c>
      <c r="E14" s="27" t="s">
        <v>143</v>
      </c>
      <c r="F14" s="27" t="s">
        <v>144</v>
      </c>
      <c r="G14" s="27" t="s">
        <v>145</v>
      </c>
      <c r="H14" s="27" t="s">
        <v>146</v>
      </c>
      <c r="I14" s="27" t="s">
        <v>147</v>
      </c>
      <c r="J14" s="27" t="s">
        <v>148</v>
      </c>
      <c r="K14" s="27" t="s">
        <v>149</v>
      </c>
      <c r="L14" s="29" t="s">
        <v>27</v>
      </c>
      <c r="M14" s="27" t="s">
        <v>150</v>
      </c>
      <c r="N14" s="27" t="s">
        <v>29</v>
      </c>
      <c r="O14" s="27" t="s">
        <v>151</v>
      </c>
      <c r="P14" s="27" t="s">
        <v>152</v>
      </c>
    </row>
    <row r="15" spans="1:16" ht="108" customHeight="1" x14ac:dyDescent="0.2">
      <c r="A15" s="9">
        <v>12</v>
      </c>
      <c r="B15" s="30" t="s">
        <v>153</v>
      </c>
      <c r="C15" s="31" t="s">
        <v>59</v>
      </c>
      <c r="D15" s="32">
        <v>2024</v>
      </c>
      <c r="E15" s="31" t="s">
        <v>154</v>
      </c>
      <c r="F15" s="31" t="s">
        <v>155</v>
      </c>
      <c r="G15" s="31" t="s">
        <v>156</v>
      </c>
      <c r="H15" s="31" t="s">
        <v>157</v>
      </c>
      <c r="I15" s="31" t="s">
        <v>158</v>
      </c>
      <c r="J15" s="31" t="s">
        <v>159</v>
      </c>
      <c r="K15" s="31" t="s">
        <v>160</v>
      </c>
      <c r="L15" s="29" t="s">
        <v>27</v>
      </c>
      <c r="M15" s="31" t="s">
        <v>161</v>
      </c>
      <c r="N15" s="31" t="s">
        <v>42</v>
      </c>
      <c r="O15" s="31" t="s">
        <v>162</v>
      </c>
      <c r="P15" s="31" t="s">
        <v>163</v>
      </c>
    </row>
    <row r="16" spans="1:16" ht="108" customHeight="1" x14ac:dyDescent="0.2">
      <c r="A16" s="6">
        <v>13</v>
      </c>
      <c r="B16" s="26" t="s">
        <v>164</v>
      </c>
      <c r="C16" s="27" t="s">
        <v>165</v>
      </c>
      <c r="D16" s="28">
        <v>2023</v>
      </c>
      <c r="E16" s="27" t="s">
        <v>166</v>
      </c>
      <c r="F16" s="27" t="s">
        <v>167</v>
      </c>
      <c r="G16" s="27" t="s">
        <v>168</v>
      </c>
      <c r="H16" s="27" t="s">
        <v>169</v>
      </c>
      <c r="I16" s="27" t="s">
        <v>170</v>
      </c>
      <c r="J16" s="27" t="s">
        <v>171</v>
      </c>
      <c r="K16" s="27" t="s">
        <v>172</v>
      </c>
      <c r="L16" s="29" t="s">
        <v>27</v>
      </c>
      <c r="M16" s="27" t="s">
        <v>173</v>
      </c>
      <c r="N16" s="27" t="s">
        <v>82</v>
      </c>
      <c r="O16" s="27" t="s">
        <v>174</v>
      </c>
      <c r="P16" s="27" t="s">
        <v>175</v>
      </c>
    </row>
    <row r="17" spans="1:16" ht="108" customHeight="1" x14ac:dyDescent="0.2">
      <c r="A17" s="9">
        <v>14</v>
      </c>
      <c r="B17" s="30" t="s">
        <v>176</v>
      </c>
      <c r="C17" s="31" t="s">
        <v>73</v>
      </c>
      <c r="D17" s="32">
        <v>2025</v>
      </c>
      <c r="E17" s="31" t="s">
        <v>177</v>
      </c>
      <c r="F17" s="31" t="s">
        <v>178</v>
      </c>
      <c r="G17" s="31" t="s">
        <v>179</v>
      </c>
      <c r="H17" s="31" t="s">
        <v>180</v>
      </c>
      <c r="I17" s="31" t="s">
        <v>181</v>
      </c>
      <c r="J17" s="31" t="s">
        <v>182</v>
      </c>
      <c r="K17" s="31" t="s">
        <v>183</v>
      </c>
      <c r="L17" s="29" t="s">
        <v>27</v>
      </c>
      <c r="M17" s="31" t="s">
        <v>184</v>
      </c>
      <c r="N17" s="31" t="s">
        <v>185</v>
      </c>
      <c r="O17" s="31" t="s">
        <v>186</v>
      </c>
      <c r="P17" s="31" t="s">
        <v>187</v>
      </c>
    </row>
    <row r="18" spans="1:16" ht="108" customHeight="1" x14ac:dyDescent="0.2">
      <c r="A18" s="6">
        <v>15</v>
      </c>
      <c r="B18" s="26" t="s">
        <v>188</v>
      </c>
      <c r="C18" s="27" t="s">
        <v>73</v>
      </c>
      <c r="D18" s="28">
        <v>2025</v>
      </c>
      <c r="E18" s="27" t="s">
        <v>189</v>
      </c>
      <c r="F18" s="27" t="s">
        <v>190</v>
      </c>
      <c r="G18" s="27" t="s">
        <v>191</v>
      </c>
      <c r="H18" s="27" t="s">
        <v>192</v>
      </c>
      <c r="I18" s="27" t="s">
        <v>193</v>
      </c>
      <c r="J18" s="27" t="s">
        <v>194</v>
      </c>
      <c r="K18" s="27" t="s">
        <v>195</v>
      </c>
      <c r="L18" s="29" t="s">
        <v>27</v>
      </c>
      <c r="M18" s="27" t="s">
        <v>196</v>
      </c>
      <c r="N18" s="27" t="s">
        <v>116</v>
      </c>
      <c r="O18" s="27" t="s">
        <v>197</v>
      </c>
      <c r="P18" s="27" t="s">
        <v>198</v>
      </c>
    </row>
    <row r="19" spans="1:16" ht="108" customHeight="1" x14ac:dyDescent="0.2">
      <c r="A19" s="9">
        <v>16</v>
      </c>
      <c r="B19" s="30" t="s">
        <v>199</v>
      </c>
      <c r="C19" s="31" t="s">
        <v>200</v>
      </c>
      <c r="D19" s="32">
        <v>2023</v>
      </c>
      <c r="E19" s="31" t="s">
        <v>201</v>
      </c>
      <c r="F19" s="31" t="s">
        <v>202</v>
      </c>
      <c r="G19" s="31" t="s">
        <v>203</v>
      </c>
      <c r="H19" s="31" t="s">
        <v>204</v>
      </c>
      <c r="I19" s="31" t="s">
        <v>205</v>
      </c>
      <c r="J19" s="31" t="s">
        <v>206</v>
      </c>
      <c r="K19" s="31" t="s">
        <v>207</v>
      </c>
      <c r="L19" s="29" t="s">
        <v>27</v>
      </c>
      <c r="M19" s="31" t="s">
        <v>208</v>
      </c>
      <c r="N19" s="31" t="s">
        <v>209</v>
      </c>
      <c r="O19" s="31" t="s">
        <v>210</v>
      </c>
      <c r="P19" s="31" t="s">
        <v>211</v>
      </c>
    </row>
    <row r="20" spans="1:16" ht="51.75" customHeight="1" x14ac:dyDescent="0.2">
      <c r="A20" s="6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8" t="s">
        <v>212</v>
      </c>
      <c r="M20" s="7"/>
      <c r="N20" s="7"/>
      <c r="O20" s="7"/>
      <c r="P20" s="7"/>
    </row>
    <row r="21" spans="1:16" ht="51.75" customHeight="1" x14ac:dyDescent="0.2">
      <c r="A21" s="9">
        <v>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 t="s">
        <v>212</v>
      </c>
      <c r="M21" s="10"/>
      <c r="N21" s="10"/>
      <c r="O21" s="10"/>
      <c r="P21" s="10"/>
    </row>
    <row r="22" spans="1:16" ht="51.75" customHeight="1" x14ac:dyDescent="0.2">
      <c r="A22" s="6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8" t="s">
        <v>212</v>
      </c>
      <c r="M22" s="7"/>
      <c r="N22" s="7"/>
      <c r="O22" s="7"/>
      <c r="P22" s="7"/>
    </row>
    <row r="23" spans="1:16" ht="51.75" customHeight="1" x14ac:dyDescent="0.2">
      <c r="A23" s="9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 t="s">
        <v>212</v>
      </c>
      <c r="M23" s="10"/>
      <c r="N23" s="10"/>
      <c r="O23" s="10"/>
      <c r="P23" s="10"/>
    </row>
    <row r="24" spans="1:16" ht="51.75" customHeight="1" x14ac:dyDescent="0.2">
      <c r="A24" s="6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8" t="s">
        <v>212</v>
      </c>
      <c r="M24" s="7"/>
      <c r="N24" s="7"/>
      <c r="O24" s="7"/>
      <c r="P24" s="7"/>
    </row>
    <row r="25" spans="1:16" ht="51.75" customHeight="1" x14ac:dyDescent="0.2">
      <c r="A25" s="9">
        <v>22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 t="s">
        <v>212</v>
      </c>
      <c r="M25" s="10"/>
      <c r="N25" s="10"/>
      <c r="O25" s="10"/>
      <c r="P25" s="10"/>
    </row>
    <row r="26" spans="1:16" ht="51.75" customHeight="1" x14ac:dyDescent="0.2">
      <c r="A26" s="6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 t="s">
        <v>212</v>
      </c>
      <c r="M26" s="7"/>
      <c r="N26" s="7"/>
      <c r="O26" s="7"/>
      <c r="P26" s="7"/>
    </row>
    <row r="27" spans="1:16" ht="51.75" customHeight="1" x14ac:dyDescent="0.2">
      <c r="A27" s="9">
        <v>24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 t="s">
        <v>212</v>
      </c>
      <c r="M27" s="10"/>
      <c r="N27" s="10"/>
      <c r="O27" s="10"/>
      <c r="P27" s="10"/>
    </row>
    <row r="28" spans="1:16" ht="51.75" customHeight="1" x14ac:dyDescent="0.2">
      <c r="A28" s="6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8" t="s">
        <v>212</v>
      </c>
      <c r="M28" s="7"/>
      <c r="N28" s="7"/>
      <c r="O28" s="7"/>
      <c r="P28" s="7"/>
    </row>
    <row r="29" spans="1:16" ht="51.75" customHeight="1" x14ac:dyDescent="0.2">
      <c r="A29" s="9">
        <v>26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 t="s">
        <v>212</v>
      </c>
      <c r="M29" s="10"/>
      <c r="N29" s="10"/>
      <c r="O29" s="10"/>
      <c r="P29" s="10"/>
    </row>
    <row r="30" spans="1:16" ht="51.75" customHeight="1" x14ac:dyDescent="0.2">
      <c r="A30" s="6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 t="s">
        <v>212</v>
      </c>
      <c r="M30" s="7"/>
      <c r="N30" s="7"/>
      <c r="O30" s="7"/>
      <c r="P30" s="7"/>
    </row>
    <row r="31" spans="1:16" ht="51.75" customHeight="1" x14ac:dyDescent="0.2">
      <c r="A31" s="9">
        <v>28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 t="s">
        <v>212</v>
      </c>
      <c r="M31" s="10"/>
      <c r="N31" s="10"/>
      <c r="O31" s="10"/>
      <c r="P31" s="10"/>
    </row>
    <row r="32" spans="1:16" ht="51.75" customHeight="1" x14ac:dyDescent="0.2">
      <c r="A32" s="6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 t="s">
        <v>212</v>
      </c>
      <c r="M32" s="7"/>
      <c r="N32" s="7"/>
      <c r="O32" s="7"/>
      <c r="P32" s="7"/>
    </row>
    <row r="33" spans="1:16" ht="51.75" customHeight="1" x14ac:dyDescent="0.2">
      <c r="A33" s="9">
        <v>30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 t="s">
        <v>212</v>
      </c>
      <c r="M33" s="10"/>
      <c r="N33" s="10"/>
      <c r="O33" s="10"/>
      <c r="P33" s="10"/>
    </row>
    <row r="34" spans="1:16" ht="51.75" customHeight="1" x14ac:dyDescent="0.2">
      <c r="A34" s="6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8" t="s">
        <v>212</v>
      </c>
      <c r="M34" s="7"/>
      <c r="N34" s="7"/>
      <c r="O34" s="7"/>
      <c r="P34" s="7"/>
    </row>
    <row r="35" spans="1:16" ht="51.75" customHeight="1" x14ac:dyDescent="0.2">
      <c r="A35" s="9">
        <v>32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 t="s">
        <v>212</v>
      </c>
      <c r="M35" s="10"/>
      <c r="N35" s="10"/>
      <c r="O35" s="10"/>
      <c r="P35" s="10"/>
    </row>
    <row r="36" spans="1:16" ht="51.75" customHeight="1" x14ac:dyDescent="0.2">
      <c r="A36" s="6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 t="s">
        <v>212</v>
      </c>
      <c r="M36" s="7"/>
      <c r="N36" s="7"/>
      <c r="O36" s="7"/>
      <c r="P36" s="7"/>
    </row>
    <row r="37" spans="1:16" ht="51.75" customHeight="1" x14ac:dyDescent="0.2">
      <c r="A37" s="9">
        <v>34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 t="s">
        <v>212</v>
      </c>
      <c r="M37" s="10"/>
      <c r="N37" s="10"/>
      <c r="O37" s="10"/>
      <c r="P37" s="10"/>
    </row>
    <row r="38" spans="1:16" ht="51.75" customHeight="1" x14ac:dyDescent="0.2">
      <c r="A38" s="6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8" t="s">
        <v>212</v>
      </c>
      <c r="M38" s="7"/>
      <c r="N38" s="7"/>
      <c r="O38" s="7"/>
      <c r="P38" s="7"/>
    </row>
    <row r="39" spans="1:16" ht="51.75" customHeight="1" x14ac:dyDescent="0.2">
      <c r="A39" s="9">
        <v>36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 t="s">
        <v>212</v>
      </c>
      <c r="M39" s="10"/>
      <c r="N39" s="10"/>
      <c r="O39" s="10"/>
      <c r="P39" s="10"/>
    </row>
    <row r="40" spans="1:16" ht="51.75" customHeight="1" x14ac:dyDescent="0.2">
      <c r="A40" s="6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8" t="s">
        <v>212</v>
      </c>
      <c r="M40" s="7"/>
      <c r="N40" s="7"/>
      <c r="O40" s="7"/>
      <c r="P40" s="7"/>
    </row>
    <row r="41" spans="1:16" ht="51.75" customHeight="1" x14ac:dyDescent="0.2">
      <c r="A41" s="9">
        <v>38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 t="s">
        <v>212</v>
      </c>
      <c r="M41" s="10"/>
      <c r="N41" s="10"/>
      <c r="O41" s="10"/>
      <c r="P41" s="10"/>
    </row>
    <row r="42" spans="1:16" ht="51.75" customHeight="1" x14ac:dyDescent="0.2">
      <c r="A42" s="6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8" t="s">
        <v>212</v>
      </c>
      <c r="M42" s="7"/>
      <c r="N42" s="7"/>
      <c r="O42" s="7"/>
      <c r="P42" s="7"/>
    </row>
    <row r="43" spans="1:16" ht="51.75" customHeight="1" x14ac:dyDescent="0.2">
      <c r="A43" s="9">
        <v>40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 t="s">
        <v>212</v>
      </c>
      <c r="M43" s="10"/>
      <c r="N43" s="10"/>
      <c r="O43" s="10"/>
      <c r="P43" s="10"/>
    </row>
    <row r="44" spans="1:16" ht="51.75" customHeight="1" x14ac:dyDescent="0.2">
      <c r="A44" s="6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8" t="s">
        <v>212</v>
      </c>
      <c r="M44" s="7"/>
      <c r="N44" s="7"/>
      <c r="O44" s="7"/>
      <c r="P44" s="7"/>
    </row>
    <row r="45" spans="1:16" ht="51.75" customHeight="1" x14ac:dyDescent="0.2">
      <c r="A45" s="9">
        <v>42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 t="s">
        <v>212</v>
      </c>
      <c r="M45" s="10"/>
      <c r="N45" s="10"/>
      <c r="O45" s="10"/>
      <c r="P45" s="10"/>
    </row>
    <row r="46" spans="1:16" ht="51.75" customHeight="1" x14ac:dyDescent="0.2">
      <c r="A46" s="6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8" t="s">
        <v>212</v>
      </c>
      <c r="M46" s="7"/>
      <c r="N46" s="7"/>
      <c r="O46" s="7"/>
      <c r="P46" s="7"/>
    </row>
    <row r="47" spans="1:16" ht="51.75" customHeight="1" x14ac:dyDescent="0.2">
      <c r="A47" s="9">
        <v>44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 t="s">
        <v>212</v>
      </c>
      <c r="M47" s="10"/>
      <c r="N47" s="10"/>
      <c r="O47" s="10"/>
      <c r="P47" s="10"/>
    </row>
    <row r="48" spans="1:16" ht="51.75" customHeight="1" x14ac:dyDescent="0.2">
      <c r="A48" s="6">
        <v>45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8" t="s">
        <v>212</v>
      </c>
      <c r="M48" s="7"/>
      <c r="N48" s="7"/>
      <c r="O48" s="7"/>
      <c r="P48" s="7"/>
    </row>
    <row r="49" spans="1:16" ht="51.75" customHeight="1" x14ac:dyDescent="0.2">
      <c r="A49" s="9">
        <v>46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 t="s">
        <v>212</v>
      </c>
      <c r="M49" s="10"/>
      <c r="N49" s="10"/>
      <c r="O49" s="10"/>
      <c r="P49" s="10"/>
    </row>
    <row r="50" spans="1:16" ht="51.75" customHeight="1" x14ac:dyDescent="0.2">
      <c r="A50" s="6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8" t="s">
        <v>212</v>
      </c>
      <c r="M50" s="7"/>
      <c r="N50" s="7"/>
      <c r="O50" s="7"/>
      <c r="P50" s="7"/>
    </row>
    <row r="51" spans="1:16" ht="51.75" customHeight="1" x14ac:dyDescent="0.2">
      <c r="A51" s="9">
        <v>48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 t="s">
        <v>212</v>
      </c>
      <c r="M51" s="10"/>
      <c r="N51" s="10"/>
      <c r="O51" s="10"/>
      <c r="P51" s="10"/>
    </row>
    <row r="52" spans="1:16" ht="51.75" customHeight="1" x14ac:dyDescent="0.2">
      <c r="A52" s="6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8" t="s">
        <v>212</v>
      </c>
      <c r="M52" s="7"/>
      <c r="N52" s="7"/>
      <c r="O52" s="7"/>
      <c r="P52" s="7"/>
    </row>
    <row r="53" spans="1:16" ht="51.75" customHeight="1" x14ac:dyDescent="0.2">
      <c r="A53" s="9">
        <v>50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 t="s">
        <v>212</v>
      </c>
      <c r="M53" s="10"/>
      <c r="N53" s="10"/>
      <c r="O53" s="10"/>
      <c r="P53" s="10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M1"/>
    </sheetView>
  </sheetViews>
  <sheetFormatPr baseColWidth="10" defaultColWidth="8.6640625" defaultRowHeight="15" x14ac:dyDescent="0.2"/>
  <cols>
    <col min="1" max="1" width="10" customWidth="1"/>
    <col min="2" max="12" width="20" customWidth="1"/>
  </cols>
  <sheetData>
    <row r="1" spans="1:13" ht="30" customHeight="1" x14ac:dyDescent="0.2">
      <c r="A1" s="50" t="s">
        <v>213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18" customHeight="1" x14ac:dyDescent="0.2">
      <c r="A2" s="49" t="s">
        <v>214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49.5" customHeight="1" x14ac:dyDescent="0.2">
      <c r="A3" s="1" t="s">
        <v>215</v>
      </c>
      <c r="B3" s="12" t="s">
        <v>216</v>
      </c>
      <c r="C3" s="13" t="s">
        <v>217</v>
      </c>
      <c r="D3" s="12" t="s">
        <v>218</v>
      </c>
      <c r="E3" s="13" t="s">
        <v>219</v>
      </c>
      <c r="F3" s="12" t="s">
        <v>220</v>
      </c>
      <c r="G3" s="13" t="s">
        <v>221</v>
      </c>
      <c r="H3" s="12" t="s">
        <v>222</v>
      </c>
      <c r="I3" s="13" t="s">
        <v>223</v>
      </c>
      <c r="J3" s="12" t="s">
        <v>224</v>
      </c>
      <c r="K3" s="13" t="s">
        <v>225</v>
      </c>
      <c r="L3" s="12" t="s">
        <v>226</v>
      </c>
    </row>
    <row r="4" spans="1:13" ht="21.75" customHeight="1" x14ac:dyDescent="0.2">
      <c r="A4" s="6">
        <v>1</v>
      </c>
      <c r="B4" s="14"/>
      <c r="C4" s="14"/>
      <c r="D4" s="14"/>
      <c r="E4" s="33" t="s">
        <v>227</v>
      </c>
      <c r="F4" s="14"/>
      <c r="G4" s="33" t="s">
        <v>227</v>
      </c>
      <c r="H4" s="33" t="s">
        <v>227</v>
      </c>
      <c r="I4" s="33" t="s">
        <v>227</v>
      </c>
      <c r="J4" s="14"/>
      <c r="K4" s="14"/>
      <c r="L4" s="14"/>
    </row>
    <row r="5" spans="1:13" ht="21.75" customHeight="1" x14ac:dyDescent="0.2">
      <c r="A5" s="9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21.75" customHeight="1" x14ac:dyDescent="0.2">
      <c r="A6" s="6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21.75" customHeight="1" x14ac:dyDescent="0.2">
      <c r="A7" s="9">
        <v>4</v>
      </c>
      <c r="B7" s="15"/>
      <c r="C7" s="15"/>
      <c r="D7" s="15"/>
      <c r="E7" s="15"/>
      <c r="F7" s="15"/>
      <c r="G7" s="15"/>
      <c r="H7" s="33" t="s">
        <v>227</v>
      </c>
      <c r="I7" s="15"/>
      <c r="J7" s="15"/>
      <c r="K7" s="15"/>
      <c r="L7" s="15"/>
    </row>
    <row r="8" spans="1:13" ht="21.75" customHeight="1" x14ac:dyDescent="0.2">
      <c r="A8" s="6">
        <v>5</v>
      </c>
      <c r="B8" s="33" t="s">
        <v>227</v>
      </c>
      <c r="C8" s="14"/>
      <c r="D8" s="14"/>
      <c r="E8" s="33" t="s">
        <v>227</v>
      </c>
      <c r="F8" s="33" t="s">
        <v>227</v>
      </c>
      <c r="G8" s="33" t="s">
        <v>227</v>
      </c>
      <c r="H8" s="33" t="s">
        <v>227</v>
      </c>
      <c r="I8" s="33" t="s">
        <v>227</v>
      </c>
      <c r="J8" s="33" t="s">
        <v>227</v>
      </c>
      <c r="K8" s="14"/>
      <c r="L8" s="14"/>
    </row>
    <row r="9" spans="1:13" ht="21.75" customHeight="1" x14ac:dyDescent="0.2">
      <c r="A9" s="9">
        <v>6</v>
      </c>
      <c r="B9" s="33" t="s">
        <v>227</v>
      </c>
      <c r="C9" s="15"/>
      <c r="D9" s="33" t="s">
        <v>227</v>
      </c>
      <c r="E9" s="15"/>
      <c r="F9" s="33" t="s">
        <v>227</v>
      </c>
      <c r="G9" s="33" t="s">
        <v>227</v>
      </c>
      <c r="H9" s="33" t="s">
        <v>227</v>
      </c>
      <c r="I9" s="15"/>
      <c r="J9" s="33" t="s">
        <v>227</v>
      </c>
      <c r="K9" s="15"/>
      <c r="L9" s="15"/>
    </row>
    <row r="10" spans="1:13" ht="21.75" customHeight="1" x14ac:dyDescent="0.2">
      <c r="A10" s="6">
        <v>7</v>
      </c>
      <c r="B10" s="33" t="s">
        <v>227</v>
      </c>
      <c r="C10" s="14"/>
      <c r="D10" s="14"/>
      <c r="E10" s="14"/>
      <c r="F10" s="33" t="s">
        <v>227</v>
      </c>
      <c r="G10" s="33" t="s">
        <v>227</v>
      </c>
      <c r="H10" s="33" t="s">
        <v>227</v>
      </c>
      <c r="I10" s="14"/>
      <c r="J10" s="33" t="s">
        <v>227</v>
      </c>
      <c r="K10" s="14"/>
      <c r="L10" s="14"/>
    </row>
    <row r="11" spans="1:13" ht="21.75" customHeight="1" x14ac:dyDescent="0.2">
      <c r="A11" s="9">
        <v>8</v>
      </c>
      <c r="B11" s="15"/>
      <c r="C11" s="15"/>
      <c r="D11" s="15"/>
      <c r="E11" s="33" t="s">
        <v>227</v>
      </c>
      <c r="F11" s="33" t="s">
        <v>227</v>
      </c>
      <c r="G11" s="33" t="s">
        <v>227</v>
      </c>
      <c r="H11" s="33" t="s">
        <v>227</v>
      </c>
      <c r="I11" s="33" t="s">
        <v>227</v>
      </c>
      <c r="J11" s="15"/>
      <c r="K11" s="15"/>
      <c r="L11" s="33" t="s">
        <v>227</v>
      </c>
    </row>
    <row r="12" spans="1:13" ht="21.75" customHeight="1" x14ac:dyDescent="0.2">
      <c r="A12" s="6">
        <v>9</v>
      </c>
      <c r="B12" s="14"/>
      <c r="C12" s="14"/>
      <c r="D12" s="14"/>
      <c r="E12" s="14"/>
      <c r="F12" s="33" t="s">
        <v>227</v>
      </c>
      <c r="G12" s="14"/>
      <c r="H12" s="14"/>
      <c r="I12" s="14"/>
      <c r="J12" s="14"/>
      <c r="K12" s="14"/>
      <c r="L12" s="14"/>
    </row>
    <row r="13" spans="1:13" ht="21.75" customHeight="1" x14ac:dyDescent="0.2">
      <c r="A13" s="9">
        <v>10</v>
      </c>
      <c r="B13" s="15"/>
      <c r="C13" s="15"/>
      <c r="D13" s="15"/>
      <c r="E13" s="33" t="s">
        <v>227</v>
      </c>
      <c r="F13" s="33" t="s">
        <v>227</v>
      </c>
      <c r="G13" s="33" t="s">
        <v>227</v>
      </c>
      <c r="H13" s="33" t="s">
        <v>227</v>
      </c>
      <c r="I13" s="33" t="s">
        <v>227</v>
      </c>
      <c r="J13" s="15"/>
      <c r="K13" s="33" t="s">
        <v>227</v>
      </c>
      <c r="L13" s="15"/>
    </row>
    <row r="14" spans="1:13" ht="21.75" customHeight="1" x14ac:dyDescent="0.2">
      <c r="A14" s="6">
        <v>11</v>
      </c>
      <c r="B14" s="14"/>
      <c r="C14" s="14"/>
      <c r="D14" s="14"/>
      <c r="E14" s="33" t="s">
        <v>227</v>
      </c>
      <c r="F14" s="33" t="s">
        <v>227</v>
      </c>
      <c r="G14" s="33" t="s">
        <v>227</v>
      </c>
      <c r="H14" s="33" t="s">
        <v>227</v>
      </c>
      <c r="I14" s="33" t="s">
        <v>227</v>
      </c>
      <c r="J14" s="14"/>
      <c r="K14" s="14"/>
      <c r="L14" s="14"/>
    </row>
    <row r="15" spans="1:13" ht="21.75" customHeight="1" x14ac:dyDescent="0.2">
      <c r="A15" s="9">
        <v>12</v>
      </c>
      <c r="B15" s="15"/>
      <c r="C15" s="15"/>
      <c r="D15" s="15"/>
      <c r="E15" s="15"/>
      <c r="F15" s="15"/>
      <c r="G15" s="15"/>
      <c r="H15" s="33" t="s">
        <v>227</v>
      </c>
      <c r="I15" s="15"/>
      <c r="J15" s="15"/>
      <c r="K15" s="15"/>
      <c r="L15" s="15"/>
    </row>
    <row r="16" spans="1:13" ht="21.75" customHeight="1" x14ac:dyDescent="0.2">
      <c r="A16" s="6">
        <v>13</v>
      </c>
      <c r="B16" s="14"/>
      <c r="C16" s="14"/>
      <c r="D16" s="14"/>
      <c r="E16" s="14"/>
      <c r="F16" s="33" t="s">
        <v>227</v>
      </c>
      <c r="G16" s="33" t="s">
        <v>227</v>
      </c>
      <c r="H16" s="33" t="s">
        <v>227</v>
      </c>
      <c r="I16" s="14"/>
      <c r="J16" s="14"/>
      <c r="K16" s="14"/>
      <c r="L16" s="14"/>
    </row>
    <row r="17" spans="1:12" ht="21.75" customHeight="1" x14ac:dyDescent="0.2">
      <c r="A17" s="9">
        <v>14</v>
      </c>
      <c r="B17" s="15"/>
      <c r="C17" s="33" t="s">
        <v>227</v>
      </c>
      <c r="D17" s="33" t="s">
        <v>227</v>
      </c>
      <c r="E17" s="15"/>
      <c r="F17" s="15"/>
      <c r="G17" s="33" t="s">
        <v>227</v>
      </c>
      <c r="H17" s="33" t="s">
        <v>227</v>
      </c>
      <c r="I17" s="15"/>
      <c r="J17" s="15"/>
      <c r="K17" s="15"/>
      <c r="L17" s="15"/>
    </row>
    <row r="18" spans="1:12" ht="21.75" customHeight="1" x14ac:dyDescent="0.2">
      <c r="A18" s="6">
        <v>15</v>
      </c>
      <c r="B18" s="14"/>
      <c r="C18" s="14"/>
      <c r="D18" s="14"/>
      <c r="E18" s="14"/>
      <c r="F18" s="14"/>
      <c r="G18" s="14"/>
      <c r="H18" s="33" t="s">
        <v>227</v>
      </c>
      <c r="I18" s="14"/>
      <c r="J18" s="14"/>
      <c r="K18" s="14"/>
      <c r="L18" s="14"/>
    </row>
    <row r="19" spans="1:12" ht="21.75" customHeight="1" x14ac:dyDescent="0.2">
      <c r="A19" s="9">
        <v>16</v>
      </c>
      <c r="B19" s="15"/>
      <c r="C19" s="15"/>
      <c r="D19" s="15"/>
      <c r="E19" s="33" t="s">
        <v>227</v>
      </c>
      <c r="F19" s="33" t="s">
        <v>227</v>
      </c>
      <c r="G19" s="33" t="s">
        <v>227</v>
      </c>
      <c r="H19" s="33" t="s">
        <v>227</v>
      </c>
      <c r="I19" s="33" t="s">
        <v>227</v>
      </c>
      <c r="J19" s="15"/>
      <c r="K19" s="15"/>
      <c r="L19" s="15"/>
    </row>
    <row r="20" spans="1:12" ht="21.75" customHeight="1" x14ac:dyDescent="0.2">
      <c r="A20" s="6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22" customHeight="1" x14ac:dyDescent="0.2">
      <c r="A21" s="34" t="s">
        <v>228</v>
      </c>
      <c r="B21" s="35">
        <v>3</v>
      </c>
      <c r="C21" s="35">
        <v>1</v>
      </c>
      <c r="D21" s="35">
        <v>2</v>
      </c>
      <c r="E21" s="36">
        <v>6</v>
      </c>
      <c r="F21" s="37">
        <v>9</v>
      </c>
      <c r="G21" s="37">
        <v>10</v>
      </c>
      <c r="H21" s="37">
        <v>13</v>
      </c>
      <c r="I21" s="36">
        <v>6</v>
      </c>
      <c r="J21" s="35">
        <v>3</v>
      </c>
      <c r="K21" s="35">
        <v>1</v>
      </c>
      <c r="L21" s="35">
        <v>1</v>
      </c>
    </row>
    <row r="22" spans="1:12" ht="22" customHeight="1" x14ac:dyDescent="0.2">
      <c r="A22" s="38" t="s">
        <v>229</v>
      </c>
      <c r="B22" s="14"/>
      <c r="C22" s="14"/>
      <c r="D22" s="14"/>
      <c r="E22" s="14"/>
      <c r="F22" s="39" t="s">
        <v>230</v>
      </c>
      <c r="G22" s="39" t="s">
        <v>230</v>
      </c>
      <c r="H22" s="39" t="s">
        <v>230</v>
      </c>
      <c r="I22" s="14"/>
      <c r="J22" s="14"/>
      <c r="K22" s="14"/>
      <c r="L22" s="14"/>
    </row>
    <row r="23" spans="1:12" ht="21.75" customHeight="1" x14ac:dyDescent="0.2">
      <c r="A23" s="9">
        <v>20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21.75" customHeight="1" x14ac:dyDescent="0.2">
      <c r="A24" s="6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21.75" customHeight="1" x14ac:dyDescent="0.2">
      <c r="A25" s="9">
        <v>22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21.75" customHeight="1" x14ac:dyDescent="0.2">
      <c r="A26" s="6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21.75" customHeight="1" x14ac:dyDescent="0.2">
      <c r="A27" s="9">
        <v>24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21.75" customHeight="1" x14ac:dyDescent="0.2">
      <c r="A28" s="6">
        <v>25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21.75" customHeight="1" x14ac:dyDescent="0.2">
      <c r="A29" s="9">
        <v>26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21.75" customHeight="1" x14ac:dyDescent="0.2">
      <c r="A30" s="6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21.75" customHeight="1" x14ac:dyDescent="0.2">
      <c r="A31" s="9">
        <v>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21.75" customHeight="1" x14ac:dyDescent="0.2">
      <c r="A32" s="6">
        <v>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1.75" customHeight="1" x14ac:dyDescent="0.2">
      <c r="A33" s="9">
        <v>30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21.75" customHeight="1" x14ac:dyDescent="0.2">
      <c r="A34" s="6">
        <v>31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1.75" customHeight="1" x14ac:dyDescent="0.2">
      <c r="A35" s="9">
        <v>32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21.75" customHeight="1" x14ac:dyDescent="0.2">
      <c r="A36" s="6">
        <v>33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21.75" customHeight="1" x14ac:dyDescent="0.2">
      <c r="A37" s="9">
        <v>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21.75" customHeight="1" x14ac:dyDescent="0.2">
      <c r="A38" s="6">
        <v>35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21.75" customHeight="1" x14ac:dyDescent="0.2">
      <c r="A39" s="9">
        <v>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21.75" customHeight="1" x14ac:dyDescent="0.2">
      <c r="A40" s="6">
        <v>37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21.75" customHeight="1" x14ac:dyDescent="0.2">
      <c r="A41" s="9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21.75" customHeight="1" x14ac:dyDescent="0.2">
      <c r="A42" s="6">
        <v>39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ht="21.75" customHeight="1" x14ac:dyDescent="0.2">
      <c r="A43" s="9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1.75" customHeight="1" x14ac:dyDescent="0.2">
      <c r="A44" s="6">
        <v>41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ht="21.75" customHeight="1" x14ac:dyDescent="0.2">
      <c r="A45" s="9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 ht="21.75" customHeight="1" x14ac:dyDescent="0.2">
      <c r="A46" s="6">
        <v>43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ht="21.75" customHeight="1" x14ac:dyDescent="0.2">
      <c r="A47" s="9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ht="21.75" customHeight="1" x14ac:dyDescent="0.2">
      <c r="A48" s="6">
        <v>45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ht="21.75" customHeight="1" x14ac:dyDescent="0.2">
      <c r="A49" s="9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ht="21.75" customHeight="1" x14ac:dyDescent="0.2">
      <c r="A50" s="6">
        <v>47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21.75" customHeight="1" x14ac:dyDescent="0.2">
      <c r="A51" s="9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ht="21.75" customHeight="1" x14ac:dyDescent="0.2">
      <c r="A52" s="6">
        <v>49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ht="21.75" customHeight="1" x14ac:dyDescent="0.2">
      <c r="A53" s="9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ht="25.5" customHeight="1" x14ac:dyDescent="0.2">
      <c r="A54" s="16" t="s">
        <v>231</v>
      </c>
      <c r="B54" s="17">
        <f t="shared" ref="B54:L54" si="0">COUNTIF(B4:B53,"✓")</f>
        <v>3</v>
      </c>
      <c r="C54" s="17">
        <f t="shared" si="0"/>
        <v>1</v>
      </c>
      <c r="D54" s="17">
        <f t="shared" si="0"/>
        <v>2</v>
      </c>
      <c r="E54" s="17">
        <f t="shared" si="0"/>
        <v>6</v>
      </c>
      <c r="F54" s="17">
        <f t="shared" si="0"/>
        <v>9</v>
      </c>
      <c r="G54" s="17">
        <f t="shared" si="0"/>
        <v>10</v>
      </c>
      <c r="H54" s="17">
        <f t="shared" si="0"/>
        <v>13</v>
      </c>
      <c r="I54" s="17">
        <f t="shared" si="0"/>
        <v>6</v>
      </c>
      <c r="J54" s="17">
        <f t="shared" si="0"/>
        <v>3</v>
      </c>
      <c r="K54" s="17">
        <f t="shared" si="0"/>
        <v>1</v>
      </c>
      <c r="L54" s="17">
        <f t="shared" si="0"/>
        <v>1</v>
      </c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8" customWidth="1"/>
    <col min="2" max="2" width="48" customWidth="1"/>
    <col min="3" max="3" width="28" customWidth="1"/>
    <col min="4" max="4" width="22" customWidth="1"/>
    <col min="5" max="5" width="52" customWidth="1"/>
    <col min="6" max="6" width="14" customWidth="1"/>
  </cols>
  <sheetData>
    <row r="1" spans="1:6" ht="30" customHeight="1" x14ac:dyDescent="0.2">
      <c r="A1" s="50" t="s">
        <v>232</v>
      </c>
      <c r="B1" s="48"/>
      <c r="C1" s="48"/>
      <c r="D1" s="48"/>
      <c r="E1" s="48"/>
      <c r="F1" s="48"/>
    </row>
    <row r="2" spans="1:6" ht="36" customHeight="1" x14ac:dyDescent="0.2">
      <c r="A2" s="1" t="s">
        <v>233</v>
      </c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238</v>
      </c>
    </row>
    <row r="3" spans="1:6" ht="58" customHeight="1" x14ac:dyDescent="0.2">
      <c r="A3" s="6">
        <v>1</v>
      </c>
      <c r="B3" s="26" t="s">
        <v>239</v>
      </c>
      <c r="C3" s="28" t="s">
        <v>240</v>
      </c>
      <c r="D3" s="27" t="s">
        <v>69</v>
      </c>
      <c r="E3" s="27" t="s">
        <v>241</v>
      </c>
      <c r="F3" s="40" t="s">
        <v>242</v>
      </c>
    </row>
    <row r="4" spans="1:6" ht="58" customHeight="1" x14ac:dyDescent="0.2">
      <c r="A4" s="18">
        <v>2</v>
      </c>
      <c r="B4" s="41" t="s">
        <v>243</v>
      </c>
      <c r="C4" s="42" t="s">
        <v>244</v>
      </c>
      <c r="D4" s="43" t="s">
        <v>245</v>
      </c>
      <c r="E4" s="43" t="s">
        <v>246</v>
      </c>
      <c r="F4" s="40" t="s">
        <v>242</v>
      </c>
    </row>
    <row r="5" spans="1:6" ht="58" customHeight="1" x14ac:dyDescent="0.2">
      <c r="A5" s="6">
        <v>3</v>
      </c>
      <c r="B5" s="26" t="s">
        <v>247</v>
      </c>
      <c r="C5" s="28" t="s">
        <v>248</v>
      </c>
      <c r="D5" s="27" t="s">
        <v>249</v>
      </c>
      <c r="E5" s="27" t="s">
        <v>250</v>
      </c>
      <c r="F5" s="40" t="s">
        <v>242</v>
      </c>
    </row>
    <row r="6" spans="1:6" ht="58" customHeight="1" x14ac:dyDescent="0.2">
      <c r="A6" s="18">
        <v>4</v>
      </c>
      <c r="B6" s="41" t="s">
        <v>251</v>
      </c>
      <c r="C6" s="42" t="s">
        <v>252</v>
      </c>
      <c r="D6" s="43" t="s">
        <v>69</v>
      </c>
      <c r="E6" s="43" t="s">
        <v>253</v>
      </c>
      <c r="F6" s="40" t="s">
        <v>242</v>
      </c>
    </row>
    <row r="7" spans="1:6" ht="58" customHeight="1" x14ac:dyDescent="0.2">
      <c r="A7" s="6">
        <v>5</v>
      </c>
      <c r="B7" s="26" t="s">
        <v>254</v>
      </c>
      <c r="C7" s="28" t="s">
        <v>255</v>
      </c>
      <c r="D7" s="27" t="s">
        <v>249</v>
      </c>
      <c r="E7" s="27" t="s">
        <v>256</v>
      </c>
      <c r="F7" s="40" t="s">
        <v>242</v>
      </c>
    </row>
    <row r="8" spans="1:6" ht="58" customHeight="1" x14ac:dyDescent="0.2">
      <c r="A8" s="18">
        <v>6</v>
      </c>
      <c r="B8" s="41" t="s">
        <v>257</v>
      </c>
      <c r="C8" s="42" t="s">
        <v>258</v>
      </c>
      <c r="D8" s="43" t="s">
        <v>259</v>
      </c>
      <c r="E8" s="43" t="s">
        <v>260</v>
      </c>
      <c r="F8" s="44" t="s">
        <v>261</v>
      </c>
    </row>
    <row r="9" spans="1:6" ht="58" customHeight="1" x14ac:dyDescent="0.2">
      <c r="A9" s="6">
        <v>7</v>
      </c>
      <c r="B9" s="26" t="s">
        <v>262</v>
      </c>
      <c r="C9" s="28" t="s">
        <v>263</v>
      </c>
      <c r="D9" s="27" t="s">
        <v>69</v>
      </c>
      <c r="E9" s="27" t="s">
        <v>264</v>
      </c>
      <c r="F9" s="44" t="s">
        <v>261</v>
      </c>
    </row>
    <row r="10" spans="1:6" ht="58" customHeight="1" x14ac:dyDescent="0.2">
      <c r="A10" s="18">
        <v>8</v>
      </c>
      <c r="B10" s="41" t="s">
        <v>265</v>
      </c>
      <c r="C10" s="42" t="s">
        <v>266</v>
      </c>
      <c r="D10" s="43" t="s">
        <v>245</v>
      </c>
      <c r="E10" s="43" t="s">
        <v>267</v>
      </c>
      <c r="F10" s="44" t="s">
        <v>261</v>
      </c>
    </row>
    <row r="11" spans="1:6" ht="58" customHeight="1" x14ac:dyDescent="0.2">
      <c r="A11" s="6">
        <v>9</v>
      </c>
      <c r="B11" s="26" t="s">
        <v>268</v>
      </c>
      <c r="C11" s="28" t="s">
        <v>269</v>
      </c>
      <c r="D11" s="27" t="s">
        <v>249</v>
      </c>
      <c r="E11" s="27" t="s">
        <v>270</v>
      </c>
      <c r="F11" s="45" t="s">
        <v>271</v>
      </c>
    </row>
    <row r="12" spans="1:6" ht="58" customHeight="1" x14ac:dyDescent="0.2">
      <c r="A12" s="18">
        <v>10</v>
      </c>
      <c r="B12" s="41" t="s">
        <v>272</v>
      </c>
      <c r="C12" s="42" t="s">
        <v>273</v>
      </c>
      <c r="D12" s="43" t="s">
        <v>139</v>
      </c>
      <c r="E12" s="43" t="s">
        <v>274</v>
      </c>
      <c r="F12" s="46" t="s">
        <v>271</v>
      </c>
    </row>
    <row r="13" spans="1:6" ht="39.75" customHeight="1" x14ac:dyDescent="0.2">
      <c r="A13" s="6">
        <v>11</v>
      </c>
      <c r="B13" s="7"/>
      <c r="C13" s="7"/>
      <c r="D13" s="7"/>
      <c r="E13" s="7"/>
      <c r="F13" s="7"/>
    </row>
    <row r="14" spans="1:6" ht="39.75" customHeight="1" x14ac:dyDescent="0.2">
      <c r="A14" s="18">
        <v>12</v>
      </c>
      <c r="B14" s="19"/>
      <c r="C14" s="19"/>
      <c r="D14" s="19"/>
      <c r="E14" s="19"/>
      <c r="F14" s="19"/>
    </row>
    <row r="15" spans="1:6" ht="39.75" customHeight="1" x14ac:dyDescent="0.2">
      <c r="A15" s="6">
        <v>13</v>
      </c>
      <c r="B15" s="7"/>
      <c r="C15" s="7"/>
      <c r="D15" s="7"/>
      <c r="E15" s="7"/>
      <c r="F15" s="7"/>
    </row>
    <row r="16" spans="1:6" ht="39.75" customHeight="1" x14ac:dyDescent="0.2">
      <c r="A16" s="18">
        <v>14</v>
      </c>
      <c r="B16" s="19"/>
      <c r="C16" s="19"/>
      <c r="D16" s="19"/>
      <c r="E16" s="19"/>
      <c r="F16" s="19"/>
    </row>
    <row r="17" spans="1:6" ht="39.75" customHeight="1" x14ac:dyDescent="0.2">
      <c r="A17" s="6">
        <v>15</v>
      </c>
      <c r="B17" s="7"/>
      <c r="C17" s="7"/>
      <c r="D17" s="7"/>
      <c r="E17" s="7"/>
      <c r="F17" s="7"/>
    </row>
    <row r="19" spans="1:6" ht="39.75" customHeight="1" x14ac:dyDescent="0.2">
      <c r="A19" s="49" t="s">
        <v>275</v>
      </c>
      <c r="B19" s="48"/>
      <c r="C19" s="48"/>
      <c r="D19" s="48"/>
      <c r="E19" s="48"/>
      <c r="F19" s="48"/>
    </row>
    <row r="21" spans="1:6" ht="15" customHeight="1" x14ac:dyDescent="0.2">
      <c r="A21" s="51" t="s">
        <v>276</v>
      </c>
      <c r="B21" s="48"/>
    </row>
    <row r="22" spans="1:6" ht="32.75" customHeight="1" x14ac:dyDescent="0.2">
      <c r="A22" s="20" t="s">
        <v>277</v>
      </c>
      <c r="B22" s="21" t="str">
        <f>'Paper Tracker'!A3</f>
        <v>#</v>
      </c>
    </row>
    <row r="23" spans="1:6" ht="32.75" customHeight="1" x14ac:dyDescent="0.2">
      <c r="A23" s="20" t="s">
        <v>278</v>
      </c>
      <c r="B23" s="21">
        <f>COUNTIF('Paper Tracker'!L4:L53,"Yes")</f>
        <v>15</v>
      </c>
    </row>
    <row r="24" spans="1:6" ht="43.25" customHeight="1" x14ac:dyDescent="0.2">
      <c r="A24" s="20" t="s">
        <v>279</v>
      </c>
      <c r="B24" s="21">
        <f>COUNTA(B3:B17)</f>
        <v>10</v>
      </c>
    </row>
  </sheetData>
  <mergeCells count="3">
    <mergeCell ref="A19:F19"/>
    <mergeCell ref="A21:B21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sqref="A1:B1"/>
    </sheetView>
  </sheetViews>
  <sheetFormatPr baseColWidth="10" defaultColWidth="8.6640625" defaultRowHeight="15" x14ac:dyDescent="0.2"/>
  <cols>
    <col min="1" max="1" width="18" customWidth="1"/>
    <col min="2" max="2" width="75" customWidth="1"/>
  </cols>
  <sheetData>
    <row r="1" spans="1:2" ht="30" customHeight="1" x14ac:dyDescent="0.2">
      <c r="A1" s="50" t="s">
        <v>280</v>
      </c>
      <c r="B1" s="48"/>
    </row>
    <row r="2" spans="1:2" ht="79.5" customHeight="1" x14ac:dyDescent="0.2">
      <c r="A2" s="22" t="s">
        <v>281</v>
      </c>
      <c r="B2" s="23" t="s">
        <v>282</v>
      </c>
    </row>
    <row r="3" spans="1:2" ht="79.5" customHeight="1" x14ac:dyDescent="0.2">
      <c r="A3" s="24" t="s">
        <v>283</v>
      </c>
      <c r="B3" s="25" t="s">
        <v>284</v>
      </c>
    </row>
    <row r="4" spans="1:2" ht="79.5" customHeight="1" x14ac:dyDescent="0.2">
      <c r="A4" s="22" t="s">
        <v>285</v>
      </c>
      <c r="B4" s="23" t="s">
        <v>286</v>
      </c>
    </row>
    <row r="5" spans="1:2" ht="79.5" customHeight="1" x14ac:dyDescent="0.2">
      <c r="A5" s="24" t="s">
        <v>287</v>
      </c>
      <c r="B5" s="25" t="s">
        <v>288</v>
      </c>
    </row>
    <row r="6" spans="1:2" ht="79.5" customHeight="1" x14ac:dyDescent="0.2">
      <c r="A6" s="22" t="s">
        <v>289</v>
      </c>
      <c r="B6" s="23" t="s">
        <v>290</v>
      </c>
    </row>
    <row r="7" spans="1:2" ht="79.5" customHeight="1" x14ac:dyDescent="0.2">
      <c r="A7" s="24" t="s">
        <v>291</v>
      </c>
      <c r="B7" s="25" t="s">
        <v>292</v>
      </c>
    </row>
    <row r="8" spans="1:2" ht="79.5" customHeight="1" x14ac:dyDescent="0.2">
      <c r="A8" s="22" t="s">
        <v>293</v>
      </c>
      <c r="B8" s="23" t="s">
        <v>294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 Tracker</vt:lpstr>
      <vt:lpstr>Assumptions Map</vt:lpstr>
      <vt:lpstr>Gap 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u2023416</cp:lastModifiedBy>
  <cp:revision>0</cp:revision>
  <dcterms:created xsi:type="dcterms:W3CDTF">2026-04-02T04:52:48Z</dcterms:created>
  <dcterms:modified xsi:type="dcterms:W3CDTF">2026-04-17T09:42:41Z</dcterms:modified>
  <dc:language>en-US</dc:language>
</cp:coreProperties>
</file>